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en_skoroszyt" hidePivotFieldList="1"/>
  <mc:AlternateContent xmlns:mc="http://schemas.openxmlformats.org/markup-compatibility/2006">
    <mc:Choice Requires="x15">
      <x15ac:absPath xmlns:x15ac="http://schemas.microsoft.com/office/spreadsheetml/2010/11/ac" url="C:\Users\user\Desktop\TOMEK\Projekt - Oprogramowanie Użytkowe\"/>
    </mc:Choice>
  </mc:AlternateContent>
  <xr:revisionPtr revIDLastSave="0" documentId="13_ncr:1_{7D11301A-F9ED-4E2D-B49D-11B51A35355E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SRS" sheetId="1" r:id="rId1"/>
    <sheet name="AP" sheetId="3" r:id="rId2"/>
  </sheets>
  <calcPr calcId="181029"/>
  <pivotCaches>
    <pivotCache cacheId="723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3" l="1"/>
  <c r="C1" i="3"/>
</calcChain>
</file>

<file path=xl/sharedStrings.xml><?xml version="1.0" encoding="utf-8"?>
<sst xmlns="http://schemas.openxmlformats.org/spreadsheetml/2006/main" count="41" uniqueCount="26">
  <si>
    <t>Godzina</t>
  </si>
  <si>
    <t>Data</t>
  </si>
  <si>
    <t>Lp.</t>
  </si>
  <si>
    <t>Rozmiar stolika</t>
  </si>
  <si>
    <t>liczba stolików</t>
  </si>
  <si>
    <t>Razem miejsc</t>
  </si>
  <si>
    <t>data</t>
  </si>
  <si>
    <t>godzina</t>
  </si>
  <si>
    <t>miejsca</t>
  </si>
  <si>
    <t>Nazwisko</t>
  </si>
  <si>
    <t>03.03.2020</t>
  </si>
  <si>
    <t>12.03.2020</t>
  </si>
  <si>
    <t>02.03.2020</t>
  </si>
  <si>
    <t>x</t>
  </si>
  <si>
    <t>c</t>
  </si>
  <si>
    <t>v</t>
  </si>
  <si>
    <t>b</t>
  </si>
  <si>
    <t>m</t>
  </si>
  <si>
    <t>a</t>
  </si>
  <si>
    <t>f</t>
  </si>
  <si>
    <t>Liczba miejsc</t>
  </si>
  <si>
    <t>Etykiety wierszy</t>
  </si>
  <si>
    <t>Suma końcowa</t>
  </si>
  <si>
    <t>Suma z Liczba miejsc</t>
  </si>
  <si>
    <t>Uwagi</t>
  </si>
  <si>
    <t>System rezerwacji stolików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</si>
</sst>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0A0101"/>
      <name val="Calibri"/>
      <family val="2"/>
      <charset val="238"/>
      <scheme val="minor"/>
    </font>
    <font>
      <b/>
      <sz val="11"/>
      <color theme="3" tint="-0.249977111117893"/>
      <name val="Calibri"/>
      <family val="2"/>
      <scheme val="minor"/>
    </font>
    <font>
      <sz val="11"/>
      <color indexed="32"/>
      <name val="Constantia"/>
      <family val="1"/>
      <charset val="238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Font="1" applyFill="1" applyBorder="1"/>
    <xf numFmtId="20" fontId="0" fillId="0" borderId="0" xfId="0" applyNumberFormat="1" applyFont="1" applyFill="1" applyBorder="1"/>
    <xf numFmtId="49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1" xfId="0" applyBorder="1"/>
    <xf numFmtId="0" fontId="0" fillId="0" borderId="1" xfId="0" applyFill="1" applyBorder="1"/>
    <xf numFmtId="20" fontId="0" fillId="0" borderId="0" xfId="0" applyNumberFormat="1"/>
    <xf numFmtId="1" fontId="0" fillId="0" borderId="0" xfId="0" applyNumberFormat="1" applyFont="1" applyFill="1" applyBorder="1"/>
    <xf numFmtId="14" fontId="0" fillId="2" borderId="1" xfId="0" applyNumberFormat="1" applyFont="1" applyFill="1" applyBorder="1" applyAlignment="1">
      <alignment horizontal="right"/>
    </xf>
    <xf numFmtId="20" fontId="0" fillId="2" borderId="1" xfId="0" applyNumberFormat="1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20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0" fontId="2" fillId="4" borderId="2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Border="1"/>
    <xf numFmtId="0" fontId="0" fillId="5" borderId="0" xfId="0" applyFill="1" applyBorder="1"/>
  </cellXfs>
  <cellStyles count="1">
    <cellStyle name="Normalny" xfId="0" builtinId="0"/>
  </cellStyles>
  <dxfs count="2">
    <dxf>
      <protection locked="0" hidden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600075</xdr:colOff>
          <xdr:row>1</xdr:row>
          <xdr:rowOff>114300</xdr:rowOff>
        </xdr:from>
        <xdr:to>
          <xdr:col>8</xdr:col>
          <xdr:colOff>590550</xdr:colOff>
          <xdr:row>8</xdr:row>
          <xdr:rowOff>33959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80"/>
                  </a:solidFill>
                  <a:latin typeface="Constantia"/>
                </a:rPr>
                <a:t>Uruchom menadżera rezerwacji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asz Zubrzycki" refreshedDate="43885.670962384262" createdVersion="5" refreshedVersion="6" minRefreshableVersion="3" recordCount="7" xr:uid="{0C30E297-E04D-4C48-B69C-D415BBD57F16}">
  <cacheSource type="worksheet">
    <worksheetSource ref="A2:F9" sheet="SRS"/>
  </cacheSource>
  <cacheFields count="6">
    <cacheField name="Lp." numFmtId="0">
      <sharedItems containsSemiMixedTypes="0" containsString="0" containsNumber="1" containsInteger="1" minValue="1" maxValue="7"/>
    </cacheField>
    <cacheField name="Liczba miejsc" numFmtId="1">
      <sharedItems containsSemiMixedTypes="0" containsString="0" containsNumber="1" containsInteger="1" minValue="6" maxValue="8"/>
    </cacheField>
    <cacheField name="Data" numFmtId="0">
      <sharedItems count="3">
        <s v="02.03.2020"/>
        <s v="03.03.2020"/>
        <s v="12.03.2020"/>
      </sharedItems>
    </cacheField>
    <cacheField name="Godzina" numFmtId="20">
      <sharedItems containsSemiMixedTypes="0" containsNonDate="0" containsDate="1" containsString="0" minDate="1899-12-30T14:00:00" maxDate="1899-12-30T17:00:00" count="3">
        <d v="1899-12-30T17:00:00"/>
        <d v="1899-12-30T14:00:00"/>
        <d v="1899-12-30T15:00:00"/>
      </sharedItems>
    </cacheField>
    <cacheField name="Nazwisko" numFmtId="0">
      <sharedItems count="7">
        <s v="x"/>
        <s v="c"/>
        <s v="v"/>
        <s v="b"/>
        <s v="m"/>
        <s v="a"/>
        <s v="f"/>
      </sharedItems>
    </cacheField>
    <cacheField name="Uwagi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n v="1"/>
    <n v="8"/>
    <x v="0"/>
    <x v="0"/>
    <x v="0"/>
    <m/>
  </r>
  <r>
    <n v="2"/>
    <n v="6"/>
    <x v="0"/>
    <x v="0"/>
    <x v="1"/>
    <m/>
  </r>
  <r>
    <n v="3"/>
    <n v="6"/>
    <x v="1"/>
    <x v="1"/>
    <x v="2"/>
    <m/>
  </r>
  <r>
    <n v="4"/>
    <n v="6"/>
    <x v="2"/>
    <x v="1"/>
    <x v="3"/>
    <m/>
  </r>
  <r>
    <n v="5"/>
    <n v="8"/>
    <x v="0"/>
    <x v="0"/>
    <x v="4"/>
    <m/>
  </r>
  <r>
    <n v="6"/>
    <n v="8"/>
    <x v="0"/>
    <x v="0"/>
    <x v="5"/>
    <m/>
  </r>
  <r>
    <n v="7"/>
    <n v="8"/>
    <x v="0"/>
    <x v="2"/>
    <x v="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DDA80A-CDD6-4251-BA01-BF12300DD3F8}" name="Raport z rezerwacji" cacheId="723" applyNumberFormats="0" applyBorderFormats="0" applyFontFormats="0" applyPatternFormats="0" applyAlignmentFormats="0" applyWidthHeightFormats="1" dataCaption="Wartości" updatedVersion="6" minRefreshableVersion="3" useAutoFormatting="1" itemPrintTitles="1" createdVersion="5" indent="0" outline="1" outlineData="1" multipleFieldFilters="0">
  <location ref="J1:K16" firstHeaderRow="1" firstDataRow="1" firstDataCol="1"/>
  <pivotFields count="6">
    <pivotField showAll="0"/>
    <pivotField dataField="1" numFmtId="1" showAll="0"/>
    <pivotField axis="axisRow" showAll="0">
      <items count="4">
        <item x="0"/>
        <item x="1"/>
        <item x="2"/>
        <item t="default"/>
      </items>
    </pivotField>
    <pivotField axis="axisRow" numFmtId="20" showAll="0">
      <items count="4">
        <item x="1"/>
        <item x="2"/>
        <item x="0"/>
        <item t="default"/>
      </items>
    </pivotField>
    <pivotField axis="axisRow" showAll="0">
      <items count="8">
        <item x="5"/>
        <item x="3"/>
        <item x="1"/>
        <item x="6"/>
        <item x="4"/>
        <item x="2"/>
        <item x="0"/>
        <item t="default"/>
      </items>
    </pivotField>
    <pivotField showAll="0"/>
  </pivotFields>
  <rowFields count="3">
    <field x="2"/>
    <field x="3"/>
    <field x="4"/>
  </rowFields>
  <rowItems count="15">
    <i>
      <x/>
    </i>
    <i r="1">
      <x v="1"/>
    </i>
    <i r="2">
      <x v="3"/>
    </i>
    <i r="1">
      <x v="2"/>
    </i>
    <i r="2">
      <x/>
    </i>
    <i r="2">
      <x v="2"/>
    </i>
    <i r="2">
      <x v="4"/>
    </i>
    <i r="2">
      <x v="6"/>
    </i>
    <i>
      <x v="1"/>
    </i>
    <i r="1">
      <x/>
    </i>
    <i r="2">
      <x v="5"/>
    </i>
    <i>
      <x v="2"/>
    </i>
    <i r="1">
      <x/>
    </i>
    <i r="2">
      <x v="1"/>
    </i>
    <i t="grand">
      <x/>
    </i>
  </rowItems>
  <colItems count="1">
    <i/>
  </colItems>
  <dataFields count="1">
    <dataField name="Suma z Liczba miejsc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9EB6B1-7F6A-4341-B449-4F6F713E8AE5}" name="TabelaGlowna" displayName="TabelaGlowna" ref="A2:F9" totalsRowShown="0" headerRowDxfId="0">
  <autoFilter ref="A2:F9" xr:uid="{1E1282CC-8797-40AB-AC04-8BE3F881D375}"/>
  <tableColumns count="6">
    <tableColumn id="2" xr3:uid="{86A8E04A-0D2E-480C-B9D7-C7C3F71900A3}" name="Lp."/>
    <tableColumn id="4" xr3:uid="{62F783A7-EA5D-4FC4-94E6-6ADCBE371DFB}" name="Liczba miejsc" dataDxfId="1"/>
    <tableColumn id="1" xr3:uid="{0D7D3850-7A8F-468A-A671-582BC725604D}" name="Data"/>
    <tableColumn id="3" xr3:uid="{F1397308-AC60-4E5B-A085-BE383829F663}" name="Godzina"/>
    <tableColumn id="5" xr3:uid="{4AA9CBAF-7C55-496B-84AA-ADF7F88F0E21}" name="Nazwisko"/>
    <tableColumn id="6" xr3:uid="{5D0394DC-C994-4A6B-9CD3-0D4F7951D260}" name="Uwag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ystemRezerwacji"/>
  <dimension ref="A1:K31"/>
  <sheetViews>
    <sheetView tabSelected="1" workbookViewId="0">
      <selection activeCell="G16" sqref="G16"/>
    </sheetView>
  </sheetViews>
  <sheetFormatPr defaultRowHeight="15" x14ac:dyDescent="0.25"/>
  <cols>
    <col min="1" max="1" width="5.85546875" customWidth="1"/>
    <col min="2" max="2" width="14.5703125" customWidth="1"/>
    <col min="3" max="3" width="12.140625" customWidth="1"/>
    <col min="4" max="4" width="10.42578125" customWidth="1"/>
    <col min="5" max="5" width="20.5703125" customWidth="1"/>
    <col min="6" max="6" width="18.5703125" customWidth="1"/>
    <col min="7" max="7" width="13.85546875" customWidth="1"/>
    <col min="8" max="8" width="15.42578125" customWidth="1"/>
    <col min="9" max="10" width="17.7109375" bestFit="1" customWidth="1"/>
    <col min="11" max="11" width="19.28515625" bestFit="1" customWidth="1"/>
    <col min="12" max="12" width="7.42578125" bestFit="1" customWidth="1"/>
    <col min="13" max="13" width="7.140625" bestFit="1" customWidth="1"/>
    <col min="14" max="14" width="14.28515625" bestFit="1" customWidth="1"/>
    <col min="15" max="17" width="2" bestFit="1" customWidth="1"/>
    <col min="18" max="18" width="15.42578125" bestFit="1" customWidth="1"/>
    <col min="19" max="21" width="2" bestFit="1" customWidth="1"/>
    <col min="22" max="22" width="26.42578125" bestFit="1" customWidth="1"/>
    <col min="23" max="23" width="19.140625" bestFit="1" customWidth="1"/>
    <col min="24" max="24" width="22.5703125" bestFit="1" customWidth="1"/>
  </cols>
  <sheetData>
    <row r="1" spans="1:11" x14ac:dyDescent="0.25">
      <c r="A1" s="21" t="s">
        <v>25</v>
      </c>
      <c r="B1" s="22"/>
      <c r="C1" s="22"/>
      <c r="D1" s="22"/>
      <c r="E1" s="22"/>
      <c r="F1" s="22"/>
      <c r="G1" s="26"/>
      <c r="H1" s="26"/>
      <c r="I1" s="26"/>
      <c r="J1" s="16" t="s">
        <v>21</v>
      </c>
      <c r="K1" t="s">
        <v>23</v>
      </c>
    </row>
    <row r="2" spans="1:11" x14ac:dyDescent="0.25">
      <c r="A2" s="23" t="s">
        <v>2</v>
      </c>
      <c r="B2" s="23" t="s">
        <v>20</v>
      </c>
      <c r="C2" s="24" t="s">
        <v>1</v>
      </c>
      <c r="D2" s="24" t="s">
        <v>0</v>
      </c>
      <c r="E2" s="24" t="s">
        <v>9</v>
      </c>
      <c r="F2" s="24" t="s">
        <v>24</v>
      </c>
      <c r="G2" s="26"/>
      <c r="H2" s="26"/>
      <c r="I2" s="26"/>
      <c r="J2" s="17" t="s">
        <v>12</v>
      </c>
      <c r="K2" s="20">
        <v>38</v>
      </c>
    </row>
    <row r="3" spans="1:11" x14ac:dyDescent="0.25">
      <c r="A3" s="1">
        <v>1</v>
      </c>
      <c r="B3" s="8">
        <v>8</v>
      </c>
      <c r="C3" t="s">
        <v>12</v>
      </c>
      <c r="D3" s="7">
        <v>0.70833333333333337</v>
      </c>
      <c r="E3" t="s">
        <v>13</v>
      </c>
      <c r="G3" s="26"/>
      <c r="H3" s="26"/>
      <c r="I3" s="26"/>
      <c r="J3" s="18">
        <v>0.625</v>
      </c>
      <c r="K3" s="20">
        <v>8</v>
      </c>
    </row>
    <row r="4" spans="1:11" x14ac:dyDescent="0.25">
      <c r="A4" s="1">
        <v>2</v>
      </c>
      <c r="B4" s="8">
        <v>6</v>
      </c>
      <c r="C4" t="s">
        <v>12</v>
      </c>
      <c r="D4" s="7">
        <v>0.70833333333333337</v>
      </c>
      <c r="E4" t="s">
        <v>14</v>
      </c>
      <c r="G4" s="26"/>
      <c r="H4" s="26"/>
      <c r="I4" s="26"/>
      <c r="J4" s="19" t="s">
        <v>19</v>
      </c>
      <c r="K4" s="20">
        <v>8</v>
      </c>
    </row>
    <row r="5" spans="1:11" x14ac:dyDescent="0.25">
      <c r="A5" s="1">
        <v>3</v>
      </c>
      <c r="B5" s="8">
        <v>6</v>
      </c>
      <c r="C5" t="s">
        <v>10</v>
      </c>
      <c r="D5" s="7">
        <v>0.58333333333333337</v>
      </c>
      <c r="E5" t="s">
        <v>15</v>
      </c>
      <c r="G5" s="26"/>
      <c r="H5" s="26"/>
      <c r="I5" s="26"/>
      <c r="J5" s="18">
        <v>0.70833333333333337</v>
      </c>
      <c r="K5" s="20">
        <v>30</v>
      </c>
    </row>
    <row r="6" spans="1:11" x14ac:dyDescent="0.25">
      <c r="A6" s="1">
        <v>4</v>
      </c>
      <c r="B6" s="8">
        <v>6</v>
      </c>
      <c r="C6" t="s">
        <v>11</v>
      </c>
      <c r="D6" s="7">
        <v>0.58333333333333337</v>
      </c>
      <c r="E6" t="s">
        <v>16</v>
      </c>
      <c r="G6" s="26"/>
      <c r="H6" s="26"/>
      <c r="I6" s="26"/>
      <c r="J6" s="19" t="s">
        <v>18</v>
      </c>
      <c r="K6" s="20">
        <v>8</v>
      </c>
    </row>
    <row r="7" spans="1:11" x14ac:dyDescent="0.25">
      <c r="A7" s="1">
        <v>5</v>
      </c>
      <c r="B7" s="8">
        <v>8</v>
      </c>
      <c r="C7" t="s">
        <v>12</v>
      </c>
      <c r="D7" s="7">
        <v>0.70833333333333337</v>
      </c>
      <c r="E7" t="s">
        <v>17</v>
      </c>
      <c r="G7" s="26"/>
      <c r="H7" s="26"/>
      <c r="I7" s="26"/>
      <c r="J7" s="19" t="s">
        <v>14</v>
      </c>
      <c r="K7" s="20">
        <v>6</v>
      </c>
    </row>
    <row r="8" spans="1:11" x14ac:dyDescent="0.25">
      <c r="A8" s="1">
        <v>6</v>
      </c>
      <c r="B8" s="8">
        <v>8</v>
      </c>
      <c r="C8" t="s">
        <v>12</v>
      </c>
      <c r="D8" s="7">
        <v>0.70833333333333337</v>
      </c>
      <c r="E8" t="s">
        <v>18</v>
      </c>
      <c r="G8" s="26"/>
      <c r="H8" s="26"/>
      <c r="I8" s="26"/>
      <c r="J8" s="19" t="s">
        <v>17</v>
      </c>
      <c r="K8" s="20">
        <v>8</v>
      </c>
    </row>
    <row r="9" spans="1:11" x14ac:dyDescent="0.25">
      <c r="A9" s="1">
        <v>7</v>
      </c>
      <c r="B9" s="8">
        <v>8</v>
      </c>
      <c r="C9" s="4" t="s">
        <v>12</v>
      </c>
      <c r="D9" s="2">
        <v>0.625</v>
      </c>
      <c r="E9" s="3" t="s">
        <v>19</v>
      </c>
      <c r="G9" s="26"/>
      <c r="H9" s="26"/>
      <c r="I9" s="26"/>
      <c r="J9" s="19" t="s">
        <v>13</v>
      </c>
      <c r="K9" s="20">
        <v>8</v>
      </c>
    </row>
    <row r="10" spans="1:11" x14ac:dyDescent="0.25">
      <c r="A10" s="1"/>
      <c r="B10" s="1"/>
      <c r="C10" s="1"/>
      <c r="D10" s="1"/>
      <c r="E10" s="3"/>
      <c r="G10" s="26"/>
      <c r="H10" s="26"/>
      <c r="I10" s="26"/>
      <c r="J10" s="17" t="s">
        <v>10</v>
      </c>
      <c r="K10" s="20">
        <v>6</v>
      </c>
    </row>
    <row r="11" spans="1:11" x14ac:dyDescent="0.25">
      <c r="A11" s="1"/>
      <c r="B11" s="1"/>
      <c r="C11" s="4"/>
      <c r="D11" s="2"/>
      <c r="E11" s="3"/>
      <c r="G11" s="25"/>
      <c r="H11" s="25"/>
      <c r="I11" s="25"/>
      <c r="J11" s="18">
        <v>0.58333333333333337</v>
      </c>
      <c r="K11" s="20">
        <v>6</v>
      </c>
    </row>
    <row r="12" spans="1:11" x14ac:dyDescent="0.25">
      <c r="A12" s="1"/>
      <c r="B12" s="1"/>
      <c r="C12" s="1"/>
      <c r="D12" s="1"/>
      <c r="E12" s="3"/>
      <c r="J12" s="19" t="s">
        <v>15</v>
      </c>
      <c r="K12" s="20">
        <v>6</v>
      </c>
    </row>
    <row r="13" spans="1:11" x14ac:dyDescent="0.25">
      <c r="A13" s="1"/>
      <c r="B13" s="1"/>
      <c r="C13" s="4"/>
      <c r="D13" s="2"/>
      <c r="E13" s="3"/>
      <c r="J13" s="17" t="s">
        <v>11</v>
      </c>
      <c r="K13" s="20">
        <v>6</v>
      </c>
    </row>
    <row r="14" spans="1:11" x14ac:dyDescent="0.25">
      <c r="A14" s="1"/>
      <c r="B14" s="1"/>
      <c r="C14" s="1"/>
      <c r="D14" s="1"/>
      <c r="E14" s="3"/>
      <c r="J14" s="18">
        <v>0.58333333333333337</v>
      </c>
      <c r="K14" s="20">
        <v>6</v>
      </c>
    </row>
    <row r="15" spans="1:11" x14ac:dyDescent="0.25">
      <c r="A15" s="1"/>
      <c r="B15" s="1"/>
      <c r="C15" s="4"/>
      <c r="D15" s="2"/>
      <c r="E15" s="3"/>
      <c r="J15" s="19" t="s">
        <v>16</v>
      </c>
      <c r="K15" s="20">
        <v>6</v>
      </c>
    </row>
    <row r="16" spans="1:11" x14ac:dyDescent="0.25">
      <c r="A16" s="1"/>
      <c r="B16" s="1"/>
      <c r="C16" s="1"/>
      <c r="D16" s="1"/>
      <c r="E16" s="3"/>
      <c r="J16" s="17" t="s">
        <v>22</v>
      </c>
      <c r="K16" s="20">
        <v>50</v>
      </c>
    </row>
    <row r="17" spans="1:5" x14ac:dyDescent="0.25">
      <c r="A17" s="1"/>
      <c r="B17" s="1"/>
      <c r="C17" s="4"/>
      <c r="D17" s="2"/>
      <c r="E17" s="3"/>
    </row>
    <row r="18" spans="1:5" x14ac:dyDescent="0.25">
      <c r="A18" s="1"/>
      <c r="B18" s="1"/>
      <c r="C18" s="1"/>
      <c r="D18" s="1"/>
      <c r="E18" s="3"/>
    </row>
    <row r="19" spans="1:5" x14ac:dyDescent="0.25">
      <c r="A19" s="1"/>
      <c r="B19" s="1"/>
      <c r="C19" s="4"/>
      <c r="D19" s="2"/>
      <c r="E19" s="3"/>
    </row>
    <row r="20" spans="1:5" x14ac:dyDescent="0.25">
      <c r="A20" s="1"/>
      <c r="B20" s="1"/>
      <c r="C20" s="1"/>
      <c r="D20" s="1"/>
      <c r="E20" s="3"/>
    </row>
    <row r="21" spans="1:5" x14ac:dyDescent="0.25">
      <c r="A21" s="1"/>
      <c r="B21" s="1"/>
      <c r="C21" s="4"/>
      <c r="D21" s="2"/>
      <c r="E21" s="3"/>
    </row>
    <row r="22" spans="1:5" x14ac:dyDescent="0.25">
      <c r="A22" s="1"/>
      <c r="B22" s="1"/>
      <c r="C22" s="1"/>
      <c r="D22" s="1"/>
      <c r="E22" s="3"/>
    </row>
    <row r="23" spans="1:5" x14ac:dyDescent="0.25">
      <c r="A23" s="1"/>
      <c r="B23" s="1"/>
      <c r="C23" s="4"/>
      <c r="D23" s="2"/>
      <c r="E23" s="3"/>
    </row>
    <row r="24" spans="1:5" x14ac:dyDescent="0.25">
      <c r="A24" s="1"/>
      <c r="B24" s="1"/>
      <c r="C24" s="1"/>
      <c r="D24" s="1"/>
      <c r="E24" s="3"/>
    </row>
    <row r="25" spans="1:5" x14ac:dyDescent="0.25">
      <c r="A25" s="1"/>
      <c r="B25" s="1"/>
      <c r="C25" s="4"/>
      <c r="D25" s="2"/>
      <c r="E25" s="3"/>
    </row>
    <row r="26" spans="1:5" x14ac:dyDescent="0.25">
      <c r="A26" s="1"/>
      <c r="B26" s="1"/>
      <c r="C26" s="1"/>
      <c r="D26" s="1"/>
      <c r="E26" s="3"/>
    </row>
    <row r="27" spans="1:5" x14ac:dyDescent="0.25">
      <c r="A27" s="1"/>
      <c r="B27" s="1"/>
      <c r="C27" s="4"/>
      <c r="D27" s="2"/>
      <c r="E27" s="3"/>
    </row>
    <row r="28" spans="1:5" x14ac:dyDescent="0.25">
      <c r="A28" s="1"/>
      <c r="B28" s="1"/>
      <c r="C28" s="1"/>
      <c r="D28" s="1"/>
      <c r="E28" s="3"/>
    </row>
    <row r="29" spans="1:5" x14ac:dyDescent="0.25">
      <c r="A29" s="1"/>
      <c r="B29" s="1"/>
      <c r="C29" s="1"/>
      <c r="D29" s="1"/>
      <c r="E29" s="3"/>
    </row>
    <row r="30" spans="1:5" x14ac:dyDescent="0.25">
      <c r="A30" s="1"/>
      <c r="B30" s="1"/>
      <c r="C30" s="1"/>
      <c r="D30" s="1"/>
      <c r="E30" s="3"/>
    </row>
    <row r="31" spans="1:5" x14ac:dyDescent="0.25">
      <c r="A31" s="1"/>
      <c r="B31" s="1"/>
      <c r="C31" s="1"/>
      <c r="D31" s="1"/>
      <c r="E31" s="3"/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zycisk1_Click">
                <anchor>
                  <from>
                    <xdr:col>6</xdr:col>
                    <xdr:colOff>600075</xdr:colOff>
                    <xdr:row>1</xdr:row>
                    <xdr:rowOff>114300</xdr:rowOff>
                  </from>
                  <to>
                    <xdr:col>8</xdr:col>
                    <xdr:colOff>590550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03D7E-E515-4F9B-A472-FE79BA56DCBA}">
  <sheetPr codeName="Arkusz2"/>
  <dimension ref="A1:D9"/>
  <sheetViews>
    <sheetView workbookViewId="0">
      <selection activeCell="C10" sqref="C10"/>
    </sheetView>
  </sheetViews>
  <sheetFormatPr defaultRowHeight="15" x14ac:dyDescent="0.25"/>
  <cols>
    <col min="1" max="1" width="16.5703125" customWidth="1"/>
    <col min="2" max="2" width="15" customWidth="1"/>
    <col min="3" max="3" width="12.42578125" customWidth="1"/>
  </cols>
  <sheetData>
    <row r="1" spans="1:4" x14ac:dyDescent="0.25">
      <c r="A1" s="5" t="s">
        <v>3</v>
      </c>
      <c r="B1" s="5" t="s">
        <v>4</v>
      </c>
      <c r="C1" s="5">
        <f>IF((ISBLANK(C2)),"Wolne",COUNTIFS(TabelaGlowna[Data],C2, TabelaGlowna[Liczba miejsc], C4, TabelaGlowna[Godzina],C3))</f>
        <v>1</v>
      </c>
      <c r="D1" s="5"/>
    </row>
    <row r="2" spans="1:4" x14ac:dyDescent="0.25">
      <c r="A2" s="5">
        <v>8</v>
      </c>
      <c r="B2" s="5">
        <v>2</v>
      </c>
      <c r="C2" s="9" t="s">
        <v>12</v>
      </c>
      <c r="D2" s="5" t="s">
        <v>6</v>
      </c>
    </row>
    <row r="3" spans="1:4" x14ac:dyDescent="0.25">
      <c r="A3" s="5">
        <v>6</v>
      </c>
      <c r="B3" s="5">
        <v>2</v>
      </c>
      <c r="C3" s="10">
        <v>0.625</v>
      </c>
      <c r="D3" s="5" t="s">
        <v>7</v>
      </c>
    </row>
    <row r="4" spans="1:4" x14ac:dyDescent="0.25">
      <c r="A4" s="5">
        <v>4</v>
      </c>
      <c r="B4" s="5">
        <v>6</v>
      </c>
      <c r="C4" s="11">
        <v>8</v>
      </c>
      <c r="D4" s="5" t="s">
        <v>8</v>
      </c>
    </row>
    <row r="5" spans="1:4" x14ac:dyDescent="0.25">
      <c r="A5" s="6">
        <v>2</v>
      </c>
      <c r="B5" s="6">
        <v>8</v>
      </c>
      <c r="C5" s="12"/>
      <c r="D5" s="5"/>
    </row>
    <row r="6" spans="1:4" x14ac:dyDescent="0.25">
      <c r="A6" s="5" t="s">
        <v>5</v>
      </c>
      <c r="B6" s="5">
        <f>8*2+6*2+6*4+2*8</f>
        <v>68</v>
      </c>
      <c r="C6" s="13"/>
      <c r="D6" s="5"/>
    </row>
    <row r="7" spans="1:4" x14ac:dyDescent="0.25">
      <c r="C7" s="14"/>
    </row>
    <row r="9" spans="1:4" x14ac:dyDescent="0.25">
      <c r="A9" s="15"/>
    </row>
  </sheetData>
  <protectedRanges>
    <protectedRange algorithmName="SHA-512" hashValue="S/SfaE5XVwTvgu3KTTsN6vkteVY33kelh7lu9/fJQ790xD1Okt9s/wORuG3uY2MT3vhCVXGTpZqFRhxKz3FZCw==" saltValue="1Kjq7q8D9GGwaqVaRUe4ng==" spinCount="100000" sqref="A1:D6" name="Test"/>
  </protectedRange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66A37F-4A22-44BE-B574-675802744A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SRS</vt:lpstr>
      <vt:lpstr>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Tomasz Zubrzycki</cp:lastModifiedBy>
  <dcterms:created xsi:type="dcterms:W3CDTF">2015-06-05T18:19:34Z</dcterms:created>
  <dcterms:modified xsi:type="dcterms:W3CDTF">2020-02-24T15:09:35Z</dcterms:modified>
</cp:coreProperties>
</file>